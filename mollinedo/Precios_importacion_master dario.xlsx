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elq\Documents\"/>
    </mc:Choice>
  </mc:AlternateContent>
  <xr:revisionPtr revIDLastSave="0" documentId="8_{B992D0D0-1B30-4E6F-A2C9-2D73F61CD05A}" xr6:coauthVersionLast="47" xr6:coauthVersionMax="47" xr10:uidLastSave="{00000000-0000-0000-0000-000000000000}"/>
  <bookViews>
    <workbookView xWindow="-120" yWindow="-120" windowWidth="24240" windowHeight="13140" xr2:uid="{C885237D-6F01-4A11-811D-2D36636DCEC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<sst xmlns="http://schemas.openxmlformats.org/spreadsheetml/2006/main" count="40" uniqueCount="22">
  <si>
    <t xml:space="preserve">Codigo </t>
  </si>
  <si>
    <t xml:space="preserve">Descripcion </t>
  </si>
  <si>
    <t xml:space="preserve">Categoria Producto </t>
  </si>
  <si>
    <t xml:space="preserve">Impuesto Aplicable </t>
  </si>
  <si>
    <t xml:space="preserve">Categorias de Producto </t>
  </si>
  <si>
    <t xml:space="preserve">Tasa de Impoesto </t>
  </si>
  <si>
    <t xml:space="preserve">Monitor </t>
  </si>
  <si>
    <t xml:space="preserve">monitor </t>
  </si>
  <si>
    <t xml:space="preserve">mouse </t>
  </si>
  <si>
    <t xml:space="preserve">teclado </t>
  </si>
  <si>
    <t>windous 11</t>
  </si>
  <si>
    <t>ubuntu</t>
  </si>
  <si>
    <t>wimdous 10</t>
  </si>
  <si>
    <t>cpu</t>
  </si>
  <si>
    <t>cable de red</t>
  </si>
  <si>
    <t>rj45</t>
  </si>
  <si>
    <t xml:space="preserve">microsoft plus </t>
  </si>
  <si>
    <t>redes</t>
  </si>
  <si>
    <t>hardware</t>
  </si>
  <si>
    <t>software</t>
  </si>
  <si>
    <t>licencias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</si>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</sst>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B8A62-41A6-42A7-BA08-F24305AAC157}" name="Tabla2" displayName="Tabla2" ref="A1:D16" totalsRowShown="0">
  <autoFilter ref="A1:D16" xr:uid="{ED8B8A62-41A6-42A7-BA08-F24305AAC157}"/>
  <tableColumns count="4">
    <tableColumn id="1" xr3:uid="{82D728E8-BD47-4952-9EF7-BD49FCB14F06}" name="Codigo "/>
    <tableColumn id="2" xr3:uid="{003F2131-CC91-4CD1-B5EE-6B1B7F035EE0}" name="Descripcion "/>
    <tableColumn id="3" xr3:uid="{688EDCB0-7FF7-41F3-B422-DC6031EB3376}" name="Categoria Producto "/>
    <tableColumn id="4" xr3:uid="{BC5CA749-67AC-4323-8788-5AE6AC52F4D0}" name="Impuesto Aplicable " dataDxfId="0">
      <calculatedColumnFormula>VLOOKUP(C2,Tabla1[],2,FALSE)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8942C-01DC-400B-A8E6-DB46894A7A6B}" name="Tabla1" displayName="Tabla1" ref="A1:B5" totalsRowShown="0">
  <autoFilter ref="A1:B5" xr:uid="{E838942C-01DC-400B-A8E6-DB46894A7A6B}"/>
  <tableColumns count="2">
    <tableColumn id="1" xr3:uid="{F7C4458B-073C-45B8-83AA-0592B4EB34C2}" name="Categorias de Producto "/>
    <tableColumn id="2" xr3:uid="{B4D3BBDF-A183-463F-AF17-CE368F12B995}" name="Tasa de Impoesto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0DDD-AE93-4B20-82A1-A67AFD4475E3}">
  <dimension ref="A1:D16"/>
  <sheetViews>
    <sheetView tabSelected="1" workbookViewId="0">
      <selection activeCell="F11" sqref="F11"/>
    </sheetView>
  </sheetViews>
  <sheetFormatPr baseColWidth="10" defaultRowHeight="15" x14ac:dyDescent="0.25"/>
  <cols>
    <col min="2" max="2" width="16.42578125" bestFit="1" customWidth="1"/>
    <col min="3" max="3" width="20.42578125" customWidth="1"/>
    <col min="4" max="4" width="20.7109375" customWidth="1"/>
  </cols>
  <sheetData>
    <row r="1" spans="1:4" x14ac:dyDescent="0.25">
      <c r="A1" t="s">
        <v>0</v>
      </c>
      <c r="B1" t="s">
        <v>1</v>
      </c>
      <c r="C1" t="s">
        <v>2</v>
      </c>
      <c r="D1" s="3" t="s">
        <v>3</v>
      </c>
    </row>
    <row r="2" spans="1:4" x14ac:dyDescent="0.25">
      <c r="A2">
        <v>231</v>
      </c>
      <c r="B2" s="1" t="s">
        <v>6</v>
      </c>
      <c r="C2" t="s">
        <v>18</v>
      </c>
      <c r="D2" s="3">
        <f>VLOOKUP(C2,Tabla1[],2,FALSE)</f>
        <v>0.12</v>
      </c>
    </row>
    <row r="3" spans="1:4" x14ac:dyDescent="0.25">
      <c r="A3">
        <v>656</v>
      </c>
      <c r="B3" t="s">
        <v>7</v>
      </c>
      <c r="C3" t="s">
        <v>18</v>
      </c>
      <c r="D3" s="3">
        <f>VLOOKUP(C3,Tabla1[],2,FALSE)</f>
        <v>0.12</v>
      </c>
    </row>
    <row r="4" spans="1:4" x14ac:dyDescent="0.25">
      <c r="A4">
        <v>867</v>
      </c>
      <c r="B4" t="s">
        <v>8</v>
      </c>
      <c r="C4" t="s">
        <v>18</v>
      </c>
      <c r="D4" s="3">
        <f>VLOOKUP(C4,Tabla1[],2,FALSE)</f>
        <v>0.12</v>
      </c>
    </row>
    <row r="5" spans="1:4" x14ac:dyDescent="0.25">
      <c r="A5">
        <v>876</v>
      </c>
      <c r="B5" t="s">
        <v>9</v>
      </c>
      <c r="C5" t="s">
        <v>18</v>
      </c>
      <c r="D5" s="3">
        <f>VLOOKUP(C5,Tabla1[],2,FALSE)</f>
        <v>0.12</v>
      </c>
    </row>
    <row r="6" spans="1:4" x14ac:dyDescent="0.25">
      <c r="A6">
        <v>445</v>
      </c>
      <c r="B6" t="s">
        <v>9</v>
      </c>
      <c r="C6" t="s">
        <v>18</v>
      </c>
      <c r="D6" s="3">
        <f>VLOOKUP(C6,Tabla1[],2,FALSE)</f>
        <v>0.12</v>
      </c>
    </row>
    <row r="7" spans="1:4" x14ac:dyDescent="0.25">
      <c r="A7">
        <v>334</v>
      </c>
      <c r="B7" t="s">
        <v>10</v>
      </c>
      <c r="C7" t="s">
        <v>20</v>
      </c>
      <c r="D7" s="3">
        <f>VLOOKUP(C7,Tabla1[],2,FALSE)</f>
        <v>0.08</v>
      </c>
    </row>
    <row r="8" spans="1:4" x14ac:dyDescent="0.25">
      <c r="A8">
        <v>234</v>
      </c>
      <c r="B8" t="s">
        <v>11</v>
      </c>
      <c r="C8" t="s">
        <v>19</v>
      </c>
      <c r="D8" s="3">
        <f>VLOOKUP(C8,Tabla1[],2,FALSE)</f>
        <v>0.05</v>
      </c>
    </row>
    <row r="9" spans="1:4" x14ac:dyDescent="0.25">
      <c r="A9">
        <v>644</v>
      </c>
      <c r="B9" t="s">
        <v>12</v>
      </c>
      <c r="C9" t="s">
        <v>20</v>
      </c>
      <c r="D9" s="3">
        <f>VLOOKUP(C9,Tabla1[],2,FALSE)</f>
        <v>0.08</v>
      </c>
    </row>
    <row r="10" spans="1:4" x14ac:dyDescent="0.25">
      <c r="A10">
        <v>345</v>
      </c>
      <c r="B10" t="s">
        <v>13</v>
      </c>
      <c r="C10" t="s">
        <v>18</v>
      </c>
      <c r="D10" s="3">
        <f>VLOOKUP(C10,Tabla1[],2,FALSE)</f>
        <v>0.12</v>
      </c>
    </row>
    <row r="11" spans="1:4" x14ac:dyDescent="0.25">
      <c r="A11">
        <v>545</v>
      </c>
      <c r="B11" t="s">
        <v>6</v>
      </c>
      <c r="C11" t="s">
        <v>18</v>
      </c>
      <c r="D11" s="3">
        <f>VLOOKUP(C11,Tabla1[],2,FALSE)</f>
        <v>0.12</v>
      </c>
    </row>
    <row r="12" spans="1:4" x14ac:dyDescent="0.25">
      <c r="A12">
        <v>765</v>
      </c>
      <c r="B12" t="s">
        <v>14</v>
      </c>
      <c r="C12" t="s">
        <v>17</v>
      </c>
      <c r="D12" s="3">
        <f>VLOOKUP(C12,Tabla1[],2,FALSE)</f>
        <v>0.15</v>
      </c>
    </row>
    <row r="13" spans="1:4" x14ac:dyDescent="0.25">
      <c r="A13">
        <v>344</v>
      </c>
      <c r="B13" t="s">
        <v>15</v>
      </c>
      <c r="C13" t="s">
        <v>17</v>
      </c>
      <c r="D13" s="3">
        <f>VLOOKUP(C13,Tabla1[],2,FALSE)</f>
        <v>0.15</v>
      </c>
    </row>
    <row r="14" spans="1:4" x14ac:dyDescent="0.25">
      <c r="A14">
        <v>345</v>
      </c>
      <c r="B14" t="s">
        <v>9</v>
      </c>
      <c r="C14" t="s">
        <v>18</v>
      </c>
      <c r="D14" s="3">
        <f>VLOOKUP(C14,Tabla1[],2,FALSE)</f>
        <v>0.12</v>
      </c>
    </row>
    <row r="15" spans="1:4" x14ac:dyDescent="0.25">
      <c r="A15">
        <v>234</v>
      </c>
      <c r="B15" t="s">
        <v>10</v>
      </c>
      <c r="C15" t="s">
        <v>20</v>
      </c>
      <c r="D15" s="3">
        <f>VLOOKUP(C15,Tabla1[],2,FALSE)</f>
        <v>0.08</v>
      </c>
    </row>
    <row r="16" spans="1:4" x14ac:dyDescent="0.25">
      <c r="A16">
        <v>322</v>
      </c>
      <c r="B16" t="s">
        <v>16</v>
      </c>
      <c r="C16" t="s">
        <v>20</v>
      </c>
      <c r="D16" s="3">
        <f>VLOOKUP(C16,Tabla1[],2,FALSE)</f>
        <v>0.08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6349-507E-4435-9185-346F82BB2C0E}">
  <dimension ref="A1:B5"/>
  <sheetViews>
    <sheetView workbookViewId="0">
      <selection activeCell="A6" sqref="A6"/>
    </sheetView>
  </sheetViews>
  <sheetFormatPr baseColWidth="10" defaultRowHeight="15" x14ac:dyDescent="0.25"/>
  <cols>
    <col min="1" max="1" width="24" customWidth="1"/>
    <col min="2" max="2" width="19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21</v>
      </c>
      <c r="B2" s="2">
        <v>0.12</v>
      </c>
    </row>
    <row r="3" spans="1:2" x14ac:dyDescent="0.25">
      <c r="A3" t="s">
        <v>19</v>
      </c>
      <c r="B3" s="2">
        <v>0.05</v>
      </c>
    </row>
    <row r="4" spans="1:2" x14ac:dyDescent="0.25">
      <c r="A4" t="s">
        <v>17</v>
      </c>
      <c r="B4" s="2">
        <v>0.15</v>
      </c>
    </row>
    <row r="5" spans="1:2" x14ac:dyDescent="0.25">
      <c r="A5" t="s">
        <v>20</v>
      </c>
      <c r="B5" s="2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gaelq</dc:creator>
  <cp:lastModifiedBy>gaelq</cp:lastModifiedBy>
  <dcterms:created xsi:type="dcterms:W3CDTF">2026-05-21T16:32:31Z</dcterms:created>
  <dcterms:modified xsi:type="dcterms:W3CDTF">2026-05-21T17:01:31Z</dcterms:modified>
</cp:coreProperties>
</file>