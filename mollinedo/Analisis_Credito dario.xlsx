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ocuments\"/>
    </mc:Choice>
  </mc:AlternateContent>
  <xr:revisionPtr revIDLastSave="0" documentId="8_{58CB65CF-F689-4940-90B1-9642C071B8D4}" xr6:coauthVersionLast="47" xr6:coauthVersionMax="47" xr10:uidLastSave="{00000000-0000-0000-0000-000000000000}"/>
  <bookViews>
    <workbookView xWindow="-120" yWindow="-120" windowWidth="24240" windowHeight="13140" xr2:uid="{6954222A-DE33-49A0-8F81-39C5548BB6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<sst xmlns="http://schemas.openxmlformats.org/spreadsheetml/2006/main" count="35" uniqueCount="35">
  <si>
    <t>Nit</t>
  </si>
  <si>
    <t>Empresa</t>
  </si>
  <si>
    <t>Monto solicitado</t>
  </si>
  <si>
    <t>Ingresos Mensuales</t>
  </si>
  <si>
    <t>Dictamen Inicial</t>
  </si>
  <si>
    <t>4578962-5</t>
  </si>
  <si>
    <t>0394855-2</t>
  </si>
  <si>
    <t>2345332-8</t>
  </si>
  <si>
    <t>9867123-0</t>
  </si>
  <si>
    <t>2322334-8</t>
  </si>
  <si>
    <t>6786567-6</t>
  </si>
  <si>
    <t>4767878-7</t>
  </si>
  <si>
    <t>5647568-6</t>
  </si>
  <si>
    <t>5686798-9</t>
  </si>
  <si>
    <t>6786795-0</t>
  </si>
  <si>
    <t>2354363-5</t>
  </si>
  <si>
    <t>3647568-8</t>
  </si>
  <si>
    <t>4364575-3</t>
  </si>
  <si>
    <t>3534654-5</t>
  </si>
  <si>
    <t>1232354-2</t>
  </si>
  <si>
    <t xml:space="preserve">pancho s.a </t>
  </si>
  <si>
    <t>mariscos</t>
  </si>
  <si>
    <t>el caribe xxx</t>
  </si>
  <si>
    <t>mojojo</t>
  </si>
  <si>
    <t>marito posting s.a</t>
  </si>
  <si>
    <t>papa s.a</t>
  </si>
  <si>
    <t>bros .com</t>
  </si>
  <si>
    <t xml:space="preserve">la papaya s.a </t>
  </si>
  <si>
    <t>la sandia s.a</t>
  </si>
  <si>
    <t>monkey</t>
  </si>
  <si>
    <t>chicote s.a</t>
  </si>
  <si>
    <t>chapina s.a</t>
  </si>
  <si>
    <t xml:space="preserve">mollinedo s.a </t>
  </si>
  <si>
    <t xml:space="preserve">luigi s.a </t>
  </si>
  <si>
    <t>m.m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</si>
</sst>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DA4E6-F9FB-4A11-96A4-3642F5372C87}" name="Tabla1" displayName="Tabla1" ref="A1:E16" totalsRowShown="0">
  <autoFilter ref="A1:E16" xr:uid="{BBFDA4E6-F9FB-4A11-96A4-3642F5372C87}"/>
  <tableColumns count="5">
    <tableColumn id="1" xr3:uid="{7B153D4F-D278-4672-80D4-8CB38A6AAF6C}" name="Nit"/>
    <tableColumn id="2" xr3:uid="{DAAB0229-6130-4BB5-BF58-50150758D24E}" name="Empresa"/>
    <tableColumn id="3" xr3:uid="{E75CACCE-1698-437A-885C-922AC3D2E505}" name="Monto solicitado"/>
    <tableColumn id="4" xr3:uid="{74E7F3A3-9349-4193-8D92-6FC9FAFBC08D}" name="Ingresos Mensuales"/>
    <tableColumn id="5" xr3:uid="{729B152F-0E0A-41AC-AF51-9EFD7E21EC3A}" name="Dictamen Inicial">
      <calculatedColumnFormula>IF(D2&gt;=50000,"aprobacion inmediata",IF(D2&gt;30000,"requiere codeudor",IF(D2&gt;15000,"analisis de comité","credito denegado")))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7A56-B113-4D5C-B701-A2F2ABDBA1AD}">
  <dimension ref="A1:E16"/>
  <sheetViews>
    <sheetView tabSelected="1" workbookViewId="0">
      <selection activeCell="G14" sqref="G14"/>
    </sheetView>
  </sheetViews>
  <sheetFormatPr baseColWidth="10" defaultRowHeight="15" x14ac:dyDescent="0.25"/>
  <cols>
    <col min="2" max="2" width="17.28515625" customWidth="1"/>
    <col min="3" max="3" width="18.140625" customWidth="1"/>
    <col min="4" max="4" width="20.7109375" customWidth="1"/>
    <col min="5" max="5" width="2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20</v>
      </c>
      <c r="C2">
        <v>43645</v>
      </c>
      <c r="D2">
        <v>50000</v>
      </c>
      <c r="E2" t="str">
        <f>IF(D2&gt;=50000,"aprobacion inmediata",IF(D2&gt;30000,"requiere codeudor",IF(D2&gt;15000,"analisis de comité","credito denegado")))</f>
        <v>aprobacion inmediata</v>
      </c>
    </row>
    <row r="3" spans="1:5" x14ac:dyDescent="0.25">
      <c r="A3" t="s">
        <v>6</v>
      </c>
      <c r="B3" t="s">
        <v>21</v>
      </c>
      <c r="C3">
        <v>45647</v>
      </c>
      <c r="D3">
        <v>45000</v>
      </c>
      <c r="E3" t="str">
        <f t="shared" ref="E3:E16" si="0">IF(D3&gt;=50000,"aprobacion inmediata",IF(D3&gt;30000,"requiere codeudor",IF(D3&gt;15000,"analisis de comité","credito denegado")))</f>
        <v>requiere codeudor</v>
      </c>
    </row>
    <row r="4" spans="1:5" x14ac:dyDescent="0.25">
      <c r="A4" t="s">
        <v>7</v>
      </c>
      <c r="B4" t="s">
        <v>22</v>
      </c>
      <c r="C4">
        <v>47477</v>
      </c>
      <c r="D4">
        <v>56754</v>
      </c>
      <c r="E4" t="str">
        <f t="shared" si="0"/>
        <v>aprobacion inmediata</v>
      </c>
    </row>
    <row r="5" spans="1:5" x14ac:dyDescent="0.25">
      <c r="A5" t="s">
        <v>8</v>
      </c>
      <c r="B5" t="s">
        <v>23</v>
      </c>
      <c r="C5">
        <v>74457</v>
      </c>
      <c r="D5">
        <v>65555</v>
      </c>
      <c r="E5" t="str">
        <f t="shared" si="0"/>
        <v>aprobacion inmediata</v>
      </c>
    </row>
    <row r="6" spans="1:5" x14ac:dyDescent="0.25">
      <c r="A6" t="s">
        <v>9</v>
      </c>
      <c r="B6" t="s">
        <v>24</v>
      </c>
      <c r="C6">
        <v>45745</v>
      </c>
      <c r="D6">
        <v>74654</v>
      </c>
      <c r="E6" t="str">
        <f t="shared" si="0"/>
        <v>aprobacion inmediata</v>
      </c>
    </row>
    <row r="7" spans="1:5" x14ac:dyDescent="0.25">
      <c r="A7" t="s">
        <v>10</v>
      </c>
      <c r="B7" t="s">
        <v>25</v>
      </c>
      <c r="C7">
        <v>96598</v>
      </c>
      <c r="D7">
        <v>85757</v>
      </c>
      <c r="E7" t="str">
        <f t="shared" si="0"/>
        <v>aprobacion inmediata</v>
      </c>
    </row>
    <row r="8" spans="1:5" x14ac:dyDescent="0.25">
      <c r="A8" t="s">
        <v>11</v>
      </c>
      <c r="B8" t="s">
        <v>26</v>
      </c>
      <c r="C8">
        <v>60499</v>
      </c>
      <c r="D8">
        <v>46355</v>
      </c>
      <c r="E8" t="str">
        <f t="shared" si="0"/>
        <v>requiere codeudor</v>
      </c>
    </row>
    <row r="9" spans="1:5" x14ac:dyDescent="0.25">
      <c r="A9" t="s">
        <v>12</v>
      </c>
      <c r="B9" t="s">
        <v>27</v>
      </c>
      <c r="C9">
        <v>69005</v>
      </c>
      <c r="D9">
        <v>23000</v>
      </c>
      <c r="E9" t="str">
        <f t="shared" si="0"/>
        <v>analisis de comité</v>
      </c>
    </row>
    <row r="10" spans="1:5" x14ac:dyDescent="0.25">
      <c r="A10" t="s">
        <v>13</v>
      </c>
      <c r="B10" t="s">
        <v>28</v>
      </c>
      <c r="C10">
        <v>45776</v>
      </c>
      <c r="D10">
        <v>90000</v>
      </c>
      <c r="E10" t="str">
        <f t="shared" si="0"/>
        <v>aprobacion inmediata</v>
      </c>
    </row>
    <row r="11" spans="1:5" x14ac:dyDescent="0.25">
      <c r="A11" t="s">
        <v>14</v>
      </c>
      <c r="B11" t="s">
        <v>29</v>
      </c>
      <c r="C11">
        <v>69696</v>
      </c>
      <c r="D11">
        <v>30000</v>
      </c>
      <c r="E11" t="str">
        <f t="shared" si="0"/>
        <v>analisis de comité</v>
      </c>
    </row>
    <row r="12" spans="1:5" x14ac:dyDescent="0.25">
      <c r="A12" t="s">
        <v>15</v>
      </c>
      <c r="B12" t="s">
        <v>30</v>
      </c>
      <c r="C12">
        <v>63456</v>
      </c>
      <c r="D12">
        <v>33456</v>
      </c>
      <c r="E12" t="str">
        <f t="shared" si="0"/>
        <v>requiere codeudor</v>
      </c>
    </row>
    <row r="13" spans="1:5" x14ac:dyDescent="0.25">
      <c r="A13" t="s">
        <v>16</v>
      </c>
      <c r="B13" t="s">
        <v>31</v>
      </c>
      <c r="C13">
        <v>34633</v>
      </c>
      <c r="D13">
        <v>12750</v>
      </c>
      <c r="E13" t="str">
        <f t="shared" si="0"/>
        <v>credito denegado</v>
      </c>
    </row>
    <row r="14" spans="1:5" x14ac:dyDescent="0.25">
      <c r="A14" t="s">
        <v>17</v>
      </c>
      <c r="B14" t="s">
        <v>32</v>
      </c>
      <c r="C14">
        <v>34663</v>
      </c>
      <c r="D14">
        <v>11234</v>
      </c>
      <c r="E14" t="str">
        <f t="shared" si="0"/>
        <v>credito denegado</v>
      </c>
    </row>
    <row r="15" spans="1:5" x14ac:dyDescent="0.25">
      <c r="A15" t="s">
        <v>18</v>
      </c>
      <c r="B15" t="s">
        <v>33</v>
      </c>
      <c r="C15">
        <v>46844</v>
      </c>
      <c r="D15">
        <v>6350</v>
      </c>
      <c r="E15" t="str">
        <f t="shared" si="0"/>
        <v>credito denegado</v>
      </c>
    </row>
    <row r="16" spans="1:5" x14ac:dyDescent="0.25">
      <c r="A16" t="s">
        <v>19</v>
      </c>
      <c r="B16" t="s">
        <v>34</v>
      </c>
      <c r="C16">
        <v>58586</v>
      </c>
      <c r="D16">
        <v>6590</v>
      </c>
      <c r="E16" t="str">
        <f t="shared" si="0"/>
        <v>credito denegado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2026-05-21T15:06:43Z</dcterms:created>
  <dcterms:modified xsi:type="dcterms:W3CDTF">2026-05-21T15:36:09Z</dcterms:modified>
</cp:coreProperties>
</file>